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4"/>
  </sheets>
  <definedNames>
    <definedName name="ActualBeyond">PeriodInActual*(#REF!&gt;0)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iodInActual">#REF!=MEDIAN(#REF!,#REF!,#REF!+#REF!-1)</definedName>
    <definedName name="PeriodInPlan">#REF!=MEDIAN(#REF!,#REF!,#REF!+#REF!-1)</definedName>
    <definedName name="Plan">PeriodInPlan*(#REF!&gt;0)</definedName>
    <definedName name="Real">(PeriodInActual*(#REF!&gt;0))*PeriodInPlan</definedName>
    <definedName name="period_selected">#REF!</definedName>
    <definedName name="TitleRegion..BO60">#REF!</definedName>
  </definedNames>
  <calcPr/>
  <extLst>
    <ext uri="GoogleSheetsCustomDataVersion2">
      <go:sheetsCustomData xmlns:go="http://customooxmlschemas.google.com/" r:id="rId5" roundtripDataChecksum="RLM64FCM1rd3wt/oEsTj7eS4gTsoQG1EM2R6eliqdro="/>
    </ext>
  </extLst>
</workbook>
</file>

<file path=xl/sharedStrings.xml><?xml version="1.0" encoding="utf-8"?>
<sst xmlns="http://schemas.openxmlformats.org/spreadsheetml/2006/main" count="129" uniqueCount="83">
  <si>
    <t>Planificación del proyecto</t>
  </si>
  <si>
    <r>
      <rPr>
        <rFont val="Google Sans Text"/>
        <b/>
        <color rgb="FF000000"/>
        <sz val="11.0"/>
      </rPr>
      <t>Metodología de Gestión</t>
    </r>
    <r>
      <rPr>
        <rFont val="Google Sans Text"/>
        <color rgb="FF000000"/>
        <sz val="11.0"/>
      </rPr>
      <t>: Cascada/Waterfall</t>
    </r>
  </si>
  <si>
    <r>
      <rPr>
        <rFont val="Google Sans Text"/>
        <b/>
        <color theme="1"/>
        <sz val="11.0"/>
      </rPr>
      <t>Alcance del sistema</t>
    </r>
    <r>
      <rPr>
        <rFont val="Google Sans Text"/>
        <color theme="1"/>
        <sz val="11.0"/>
      </rPr>
      <t>: Sistema de Gestión Administrativa Edificio "El Mirador" (Módulos de Residentes, Pagos, Solicitudes, Quejas e Informes)</t>
    </r>
  </si>
  <si>
    <t>PERIODOS (SEMANAS)</t>
  </si>
  <si>
    <t>Fase del Desarrollo</t>
  </si>
  <si>
    <t>ID</t>
  </si>
  <si>
    <t>TAREA / ACTIVIDAD</t>
  </si>
  <si>
    <t>ROL</t>
  </si>
  <si>
    <t>DURACION (HORAS-HOMBRE)</t>
  </si>
  <si>
    <t>INICIO</t>
  </si>
  <si>
    <t>TÉRMINO</t>
  </si>
  <si>
    <t>COSTO</t>
  </si>
  <si>
    <t>S 1</t>
  </si>
  <si>
    <t>S 2</t>
  </si>
  <si>
    <t>S 3</t>
  </si>
  <si>
    <t>S 4</t>
  </si>
  <si>
    <t>S 5</t>
  </si>
  <si>
    <t>S 6</t>
  </si>
  <si>
    <t>S 7</t>
  </si>
  <si>
    <t>S 8</t>
  </si>
  <si>
    <t>S 9</t>
  </si>
  <si>
    <t>S 10</t>
  </si>
  <si>
    <t>S 11</t>
  </si>
  <si>
    <t>S 12</t>
  </si>
  <si>
    <t>S 13</t>
  </si>
  <si>
    <t>S 14</t>
  </si>
  <si>
    <t>S 15</t>
  </si>
  <si>
    <t>S 16</t>
  </si>
  <si>
    <t>Planificación</t>
  </si>
  <si>
    <t>Definir el problema de gestión del edificio.</t>
  </si>
  <si>
    <t>Gestor de Proyecto</t>
  </si>
  <si>
    <t>Sem 1</t>
  </si>
  <si>
    <t>Estructurar el equipo y planificar el cronograma (Gantt).</t>
  </si>
  <si>
    <t>Sem 2</t>
  </si>
  <si>
    <t>Análisis</t>
  </si>
  <si>
    <t>Levantar y validar requisitos bajo normas IEEE 830.</t>
  </si>
  <si>
    <t>Analista</t>
  </si>
  <si>
    <t>Sem 3</t>
  </si>
  <si>
    <t>Modelado de Procesos del Negocio: Modelar los flujos de información y flujos operativos del edificio (Diagramas de Procesos As-Is y To-Be).</t>
  </si>
  <si>
    <t>Sem 4</t>
  </si>
  <si>
    <t>Diseño</t>
  </si>
  <si>
    <t>Seleccionar el patron implementado (Microservicios) y definir atributos de calidad.</t>
  </si>
  <si>
    <t>Arquitecto</t>
  </si>
  <si>
    <t>Sem 5</t>
  </si>
  <si>
    <t>Elaborar diagramas UML de las Vistas Lógica y de Escenarios (Casos de Uso, Clases, Secuencia, Comunicación).</t>
  </si>
  <si>
    <t>Diseñador</t>
  </si>
  <si>
    <t>Sem 6</t>
  </si>
  <si>
    <t>Elaborar diagramas UML de las Vistas de Desarrollo, Procesos y Física (Componentes, Paquetes, Actividades, Despliegue).</t>
  </si>
  <si>
    <t>Sem 7</t>
  </si>
  <si>
    <t>Modelar la BD y diseñar prototipos de la interfaz.</t>
  </si>
  <si>
    <t>DBA / Diseñador UX</t>
  </si>
  <si>
    <t>Desarrollo</t>
  </si>
  <si>
    <t>Core: Codificar bases del sistema, persistencia y control de acceso por roles, entregando el microservicio funcional MS_Core.</t>
  </si>
  <si>
    <t>Desarrollador</t>
  </si>
  <si>
    <t>Sem 8</t>
  </si>
  <si>
    <t>Sem 9</t>
  </si>
  <si>
    <t>Gestión Base: Implementar módulos esenciales (Residentes, Unidades) asegurando la operatividad de los requisitos funcionales RF-01 a RF-10.</t>
  </si>
  <si>
    <t>Sem 10</t>
  </si>
  <si>
    <t>Lógica Transaccional: Desarrollar los servicios financieros complejos (gastos comunes), garantizando tolerancia a fallos y precisión monetaria exacta en MS_Finanzas.jar.</t>
  </si>
  <si>
    <t>Sem 11</t>
  </si>
  <si>
    <t>Mensajería Asíncrona: Implementar en los módulos comunicación desacoplada mediante un Bus de Eventos (EventBus) e integrar MS_Notificaciones.jar.</t>
  </si>
  <si>
    <t>Sem 12</t>
  </si>
  <si>
    <t>Interfaz y Consolidación: Desarrollar la interfaz (Web/Móvil responsivo) e integrar el API Gateway encargado de dirigir el tráfico de manera segura hacia el backend.</t>
  </si>
  <si>
    <t>Pruebas</t>
  </si>
  <si>
    <t>Pruebas de Componentes e Integración: Ejecución automatizada de pruebas unitarias y de integración entre microservicios.</t>
  </si>
  <si>
    <t>Tester / QA</t>
  </si>
  <si>
    <t>Sem 13</t>
  </si>
  <si>
    <t>Evaluación Heurística de Nielsen: Aplicar las heurísticas y pruebas de usabilidad con usuarios reales para consolidar las métricas de calidad esperadas.</t>
  </si>
  <si>
    <t>Diseñador UX</t>
  </si>
  <si>
    <t>Sem 14</t>
  </si>
  <si>
    <t>Conducir sesiones de validación en entornos pre-productivos con los stakeholders del edificio.</t>
  </si>
  <si>
    <t>Gestor / QA</t>
  </si>
  <si>
    <t>Mitigación de Defectos y Regresión: Corrección estricta de bugs detectados y escaneo de código estático para garantizar una entrega sin vulnerabilidades críticas.</t>
  </si>
  <si>
    <t>Sem 15</t>
  </si>
  <si>
    <t>Despliegue</t>
  </si>
  <si>
    <t>Configurar infraestructura cloud y desplegar el ecosistema en producción.</t>
  </si>
  <si>
    <t>Ing. DevOps</t>
  </si>
  <si>
    <t>Sem 16</t>
  </si>
  <si>
    <t>Mantenimiento</t>
  </si>
  <si>
    <t>Redactar manuales técnicos, documentación de la API y guías de mantenimiento preventivo/correctivo.</t>
  </si>
  <si>
    <t>Ejecutar las jornadas formativas certificadas para los administradores del edificio, entrega de credenciales maestras y firma del Cierre del Proyecto.</t>
  </si>
  <si>
    <t>Gestor / Analista</t>
  </si>
  <si>
    <t>TOTALES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</si>
</sst>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8">
    <font>
      <sz val="11.0"/>
      <color rgb="FF3F3F3F"/>
      <name val="Corbel"/>
      <scheme val="minor"/>
    </font>
    <font>
      <b/>
      <sz val="30.0"/>
      <color rgb="FF000000"/>
      <name val="Google Sans Text"/>
    </font>
    <font>
      <sz val="30.0"/>
      <color rgb="FF000000"/>
      <name val="Google Sans Text"/>
    </font>
    <font>
      <sz val="11.0"/>
      <color rgb="FF000000"/>
      <name val="Google Sans Text"/>
    </font>
    <font>
      <sz val="11.0"/>
      <color theme="1"/>
      <name val="Google Sans Text"/>
    </font>
    <font>
      <b/>
      <sz val="11.0"/>
      <color rgb="FF000000"/>
      <name val="Google Sans Text"/>
    </font>
    <font>
      <b/>
      <color rgb="FF1F1F1F"/>
      <name val="Google Sans Text"/>
    </font>
    <font>
      <color rgb="FF1F1F1F"/>
      <name val="Google Sans Text"/>
    </font>
  </fonts>
  <fills count="3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</fills>
  <borders count="2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3" numFmtId="0" xfId="0" applyAlignment="1" applyFont="1">
      <alignment horizontal="left" shrinkToFit="0" vertical="top" wrapText="1"/>
    </xf>
    <xf borderId="0" fillId="0" fontId="3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left" shrinkToFit="0" vertical="top" wrapText="1"/>
    </xf>
    <xf borderId="0" fillId="0" fontId="5" numFmtId="0" xfId="0" applyAlignment="1" applyFont="1">
      <alignment horizontal="left" shrinkToFit="0" vertical="top" wrapText="1"/>
    </xf>
    <xf borderId="0" fillId="0" fontId="5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0" fillId="0" fontId="7" numFmtId="164" xfId="0" applyAlignment="1" applyFont="1" applyNumberForma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2" fontId="7" numFmtId="0" xfId="0" applyAlignment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17618F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5.63"/>
    <col customWidth="1" min="3" max="3" width="53.13"/>
    <col customWidth="1" min="4" max="4" width="14.75"/>
    <col customWidth="1" min="5" max="5" width="19.75"/>
    <col customWidth="1" min="6" max="6" width="10.88"/>
    <col customWidth="1" min="7" max="7" width="11.63"/>
    <col customWidth="1" min="8" max="8" width="10.88"/>
    <col customWidth="1" min="9" max="24" width="4.88"/>
    <col customWidth="1" min="25" max="25" width="10.88"/>
  </cols>
  <sheetData>
    <row r="1" ht="13.5" customHeight="1">
      <c r="A1" s="1" t="s">
        <v>0</v>
      </c>
      <c r="Y1" s="2"/>
    </row>
    <row r="2" ht="13.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3.5" customHeight="1">
      <c r="A3" s="4" t="s">
        <v>1</v>
      </c>
    </row>
    <row r="4" ht="13.5" customHeight="1">
      <c r="A4" s="5" t="s">
        <v>2</v>
      </c>
      <c r="Y4" s="3"/>
    </row>
    <row r="5" ht="13.5" customHeight="1">
      <c r="A5" s="4"/>
      <c r="B5" s="4"/>
      <c r="C5" s="3"/>
      <c r="D5" s="3"/>
      <c r="E5" s="3"/>
      <c r="F5" s="3"/>
      <c r="G5" s="3"/>
      <c r="H5" s="3"/>
      <c r="I5" s="6" t="s">
        <v>3</v>
      </c>
      <c r="Y5" s="3"/>
    </row>
    <row r="6" ht="13.5" customHeight="1">
      <c r="A6" s="7" t="s">
        <v>4</v>
      </c>
      <c r="B6" s="6" t="s">
        <v>5</v>
      </c>
      <c r="C6" s="7" t="s">
        <v>6</v>
      </c>
      <c r="D6" s="6" t="s">
        <v>7</v>
      </c>
      <c r="E6" s="7" t="s">
        <v>8</v>
      </c>
      <c r="F6" s="7" t="s">
        <v>9</v>
      </c>
      <c r="G6" s="7" t="s">
        <v>10</v>
      </c>
      <c r="H6" s="6" t="s">
        <v>11</v>
      </c>
      <c r="I6" s="6" t="s">
        <v>12</v>
      </c>
      <c r="J6" s="6" t="s">
        <v>13</v>
      </c>
      <c r="K6" s="6" t="s">
        <v>14</v>
      </c>
      <c r="L6" s="6" t="s">
        <v>15</v>
      </c>
      <c r="M6" s="6" t="s">
        <v>16</v>
      </c>
      <c r="N6" s="6" t="s">
        <v>17</v>
      </c>
      <c r="O6" s="6" t="s">
        <v>18</v>
      </c>
      <c r="P6" s="6" t="s">
        <v>19</v>
      </c>
      <c r="Q6" s="6" t="s">
        <v>20</v>
      </c>
      <c r="R6" s="6" t="s">
        <v>21</v>
      </c>
      <c r="S6" s="6" t="s">
        <v>22</v>
      </c>
      <c r="T6" s="6" t="s">
        <v>23</v>
      </c>
      <c r="U6" s="6" t="s">
        <v>24</v>
      </c>
      <c r="V6" s="6" t="s">
        <v>25</v>
      </c>
      <c r="W6" s="6" t="s">
        <v>26</v>
      </c>
      <c r="X6" s="6" t="s">
        <v>27</v>
      </c>
      <c r="Y6" s="3"/>
    </row>
    <row r="7" ht="13.5" customHeight="1">
      <c r="A7" s="8" t="s">
        <v>28</v>
      </c>
      <c r="B7" s="9">
        <v>46023.0</v>
      </c>
      <c r="C7" s="8" t="s">
        <v>29</v>
      </c>
      <c r="D7" s="10" t="s">
        <v>30</v>
      </c>
      <c r="E7" s="10">
        <v>16.0</v>
      </c>
      <c r="F7" s="10" t="s">
        <v>31</v>
      </c>
      <c r="G7" s="10" t="s">
        <v>31</v>
      </c>
      <c r="H7" s="10">
        <f t="shared" ref="H7:H27" si="1">E7*25000</f>
        <v>400000</v>
      </c>
      <c r="I7" s="11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3.5" customHeight="1">
      <c r="A8" s="8" t="s">
        <v>28</v>
      </c>
      <c r="B8" s="9">
        <v>46054.0</v>
      </c>
      <c r="C8" s="8" t="s">
        <v>32</v>
      </c>
      <c r="D8" s="10" t="s">
        <v>30</v>
      </c>
      <c r="E8" s="10">
        <v>16.0</v>
      </c>
      <c r="F8" s="10" t="s">
        <v>31</v>
      </c>
      <c r="G8" s="10" t="s">
        <v>33</v>
      </c>
      <c r="H8" s="10">
        <f t="shared" si="1"/>
        <v>400000</v>
      </c>
      <c r="I8" s="11"/>
      <c r="J8" s="11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3.5" customHeight="1">
      <c r="A9" s="8" t="s">
        <v>34</v>
      </c>
      <c r="B9" s="9">
        <v>46024.0</v>
      </c>
      <c r="C9" s="8" t="s">
        <v>35</v>
      </c>
      <c r="D9" s="10" t="s">
        <v>36</v>
      </c>
      <c r="E9" s="10">
        <v>32.0</v>
      </c>
      <c r="F9" s="10" t="s">
        <v>33</v>
      </c>
      <c r="G9" s="10" t="s">
        <v>37</v>
      </c>
      <c r="H9" s="10">
        <f t="shared" si="1"/>
        <v>800000</v>
      </c>
      <c r="I9" s="10"/>
      <c r="J9" s="11"/>
      <c r="K9" s="11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3.5" customHeight="1">
      <c r="A10" s="8" t="s">
        <v>34</v>
      </c>
      <c r="B10" s="9">
        <v>46055.0</v>
      </c>
      <c r="C10" s="8" t="s">
        <v>38</v>
      </c>
      <c r="D10" s="10" t="s">
        <v>36</v>
      </c>
      <c r="E10" s="10">
        <v>16.0</v>
      </c>
      <c r="F10" s="10" t="s">
        <v>37</v>
      </c>
      <c r="G10" s="10" t="s">
        <v>39</v>
      </c>
      <c r="H10" s="10">
        <f t="shared" si="1"/>
        <v>400000</v>
      </c>
      <c r="I10" s="10"/>
      <c r="J10" s="3"/>
      <c r="K10" s="11"/>
      <c r="L10" s="11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3.5" customHeight="1">
      <c r="A11" s="8" t="s">
        <v>40</v>
      </c>
      <c r="B11" s="9">
        <v>46025.0</v>
      </c>
      <c r="C11" s="8" t="s">
        <v>41</v>
      </c>
      <c r="D11" s="10" t="s">
        <v>42</v>
      </c>
      <c r="E11" s="10">
        <v>16.0</v>
      </c>
      <c r="F11" s="10" t="s">
        <v>39</v>
      </c>
      <c r="G11" s="10" t="s">
        <v>43</v>
      </c>
      <c r="H11" s="10">
        <f t="shared" si="1"/>
        <v>400000</v>
      </c>
      <c r="I11" s="10"/>
      <c r="J11" s="3"/>
      <c r="K11" s="3"/>
      <c r="L11" s="11"/>
      <c r="M11" s="11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13.5" customHeight="1">
      <c r="A12" s="8" t="s">
        <v>40</v>
      </c>
      <c r="B12" s="9">
        <v>46056.0</v>
      </c>
      <c r="C12" s="8" t="s">
        <v>44</v>
      </c>
      <c r="D12" s="10" t="s">
        <v>45</v>
      </c>
      <c r="E12" s="10">
        <v>32.0</v>
      </c>
      <c r="F12" s="10" t="s">
        <v>43</v>
      </c>
      <c r="G12" s="10" t="s">
        <v>46</v>
      </c>
      <c r="H12" s="10">
        <f t="shared" si="1"/>
        <v>800000</v>
      </c>
      <c r="I12" s="10"/>
      <c r="J12" s="3"/>
      <c r="K12" s="3"/>
      <c r="L12" s="3"/>
      <c r="M12" s="11"/>
      <c r="N12" s="11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13.5" customHeight="1">
      <c r="A13" s="8" t="s">
        <v>40</v>
      </c>
      <c r="B13" s="9">
        <v>46084.0</v>
      </c>
      <c r="C13" s="8" t="s">
        <v>47</v>
      </c>
      <c r="D13" s="10" t="s">
        <v>45</v>
      </c>
      <c r="E13" s="10">
        <v>24.0</v>
      </c>
      <c r="F13" s="10" t="s">
        <v>46</v>
      </c>
      <c r="G13" s="10" t="s">
        <v>48</v>
      </c>
      <c r="H13" s="10">
        <f t="shared" si="1"/>
        <v>600000</v>
      </c>
      <c r="I13" s="10"/>
      <c r="J13" s="3"/>
      <c r="K13" s="3"/>
      <c r="L13" s="3"/>
      <c r="M13" s="3"/>
      <c r="N13" s="11"/>
      <c r="O13" s="11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3.5" customHeight="1">
      <c r="A14" s="8" t="s">
        <v>40</v>
      </c>
      <c r="B14" s="9">
        <v>46115.0</v>
      </c>
      <c r="C14" s="8" t="s">
        <v>49</v>
      </c>
      <c r="D14" s="10" t="s">
        <v>50</v>
      </c>
      <c r="E14" s="10">
        <v>24.0</v>
      </c>
      <c r="F14" s="10" t="s">
        <v>48</v>
      </c>
      <c r="G14" s="10" t="s">
        <v>48</v>
      </c>
      <c r="H14" s="10">
        <f t="shared" si="1"/>
        <v>600000</v>
      </c>
      <c r="I14" s="10"/>
      <c r="J14" s="3"/>
      <c r="K14" s="3"/>
      <c r="L14" s="3"/>
      <c r="M14" s="3"/>
      <c r="N14" s="3"/>
      <c r="O14" s="11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3.5" customHeight="1">
      <c r="A15" s="8" t="s">
        <v>51</v>
      </c>
      <c r="B15" s="9">
        <v>46026.0</v>
      </c>
      <c r="C15" s="8" t="s">
        <v>52</v>
      </c>
      <c r="D15" s="10" t="s">
        <v>53</v>
      </c>
      <c r="E15" s="10">
        <v>40.0</v>
      </c>
      <c r="F15" s="10" t="s">
        <v>54</v>
      </c>
      <c r="G15" s="10" t="s">
        <v>55</v>
      </c>
      <c r="H15" s="10">
        <f t="shared" si="1"/>
        <v>1000000</v>
      </c>
      <c r="I15" s="10"/>
      <c r="J15" s="3"/>
      <c r="K15" s="3"/>
      <c r="L15" s="3"/>
      <c r="M15" s="3"/>
      <c r="N15" s="3"/>
      <c r="O15" s="3"/>
      <c r="P15" s="11"/>
      <c r="Q15" s="11"/>
      <c r="R15" s="3"/>
      <c r="S15" s="3"/>
      <c r="T15" s="3"/>
      <c r="U15" s="3"/>
      <c r="V15" s="3"/>
      <c r="W15" s="3"/>
      <c r="X15" s="3"/>
      <c r="Y15" s="3"/>
    </row>
    <row r="16" ht="13.5" customHeight="1">
      <c r="A16" s="8" t="s">
        <v>51</v>
      </c>
      <c r="B16" s="9">
        <v>46057.0</v>
      </c>
      <c r="C16" s="8" t="s">
        <v>56</v>
      </c>
      <c r="D16" s="10" t="s">
        <v>53</v>
      </c>
      <c r="E16" s="10">
        <v>32.0</v>
      </c>
      <c r="F16" s="10" t="s">
        <v>55</v>
      </c>
      <c r="G16" s="10" t="s">
        <v>57</v>
      </c>
      <c r="H16" s="10">
        <f t="shared" si="1"/>
        <v>800000</v>
      </c>
      <c r="I16" s="10"/>
      <c r="J16" s="3"/>
      <c r="K16" s="3"/>
      <c r="L16" s="3"/>
      <c r="M16" s="3"/>
      <c r="N16" s="3"/>
      <c r="O16" s="3"/>
      <c r="P16" s="3"/>
      <c r="Q16" s="11"/>
      <c r="R16" s="11"/>
      <c r="S16" s="3"/>
      <c r="T16" s="3"/>
      <c r="U16" s="3"/>
      <c r="V16" s="3"/>
      <c r="W16" s="3"/>
      <c r="X16" s="3"/>
      <c r="Y16" s="3"/>
    </row>
    <row r="17" ht="13.5" customHeight="1">
      <c r="A17" s="8" t="s">
        <v>51</v>
      </c>
      <c r="B17" s="9">
        <v>46085.0</v>
      </c>
      <c r="C17" s="8" t="s">
        <v>58</v>
      </c>
      <c r="D17" s="10" t="s">
        <v>53</v>
      </c>
      <c r="E17" s="10">
        <v>40.0</v>
      </c>
      <c r="F17" s="10" t="s">
        <v>57</v>
      </c>
      <c r="G17" s="10" t="s">
        <v>59</v>
      </c>
      <c r="H17" s="10">
        <f t="shared" si="1"/>
        <v>1000000</v>
      </c>
      <c r="I17" s="10"/>
      <c r="J17" s="3"/>
      <c r="K17" s="3"/>
      <c r="L17" s="3"/>
      <c r="M17" s="3"/>
      <c r="N17" s="3"/>
      <c r="O17" s="3"/>
      <c r="P17" s="3"/>
      <c r="Q17" s="3"/>
      <c r="R17" s="11"/>
      <c r="S17" s="11"/>
      <c r="T17" s="3"/>
      <c r="U17" s="3"/>
      <c r="V17" s="3"/>
      <c r="W17" s="3"/>
      <c r="X17" s="3"/>
      <c r="Y17" s="3"/>
    </row>
    <row r="18" ht="13.5" customHeight="1">
      <c r="A18" s="8" t="s">
        <v>51</v>
      </c>
      <c r="B18" s="9">
        <v>46116.0</v>
      </c>
      <c r="C18" s="8" t="s">
        <v>60</v>
      </c>
      <c r="D18" s="10" t="s">
        <v>53</v>
      </c>
      <c r="E18" s="10">
        <v>32.0</v>
      </c>
      <c r="F18" s="10" t="s">
        <v>59</v>
      </c>
      <c r="G18" s="10" t="s">
        <v>61</v>
      </c>
      <c r="H18" s="10">
        <f t="shared" si="1"/>
        <v>800000</v>
      </c>
      <c r="I18" s="10"/>
      <c r="J18" s="3"/>
      <c r="K18" s="3"/>
      <c r="L18" s="3"/>
      <c r="M18" s="3"/>
      <c r="N18" s="3"/>
      <c r="O18" s="3"/>
      <c r="P18" s="3"/>
      <c r="Q18" s="3"/>
      <c r="R18" s="3"/>
      <c r="S18" s="11"/>
      <c r="T18" s="11"/>
      <c r="U18" s="3"/>
      <c r="V18" s="3"/>
      <c r="W18" s="3"/>
      <c r="X18" s="3"/>
      <c r="Y18" s="3"/>
    </row>
    <row r="19" ht="13.5" customHeight="1">
      <c r="A19" s="8" t="s">
        <v>51</v>
      </c>
      <c r="B19" s="9">
        <v>46146.0</v>
      </c>
      <c r="C19" s="8" t="s">
        <v>62</v>
      </c>
      <c r="D19" s="10" t="s">
        <v>53</v>
      </c>
      <c r="E19" s="10">
        <v>32.0</v>
      </c>
      <c r="F19" s="10" t="s">
        <v>61</v>
      </c>
      <c r="G19" s="10" t="s">
        <v>61</v>
      </c>
      <c r="H19" s="10">
        <f t="shared" si="1"/>
        <v>800000</v>
      </c>
      <c r="I19" s="10"/>
      <c r="J19" s="3"/>
      <c r="K19" s="3"/>
      <c r="L19" s="3"/>
      <c r="M19" s="3"/>
      <c r="N19" s="3"/>
      <c r="O19" s="3"/>
      <c r="P19" s="3"/>
      <c r="Q19" s="3"/>
      <c r="R19" s="3"/>
      <c r="S19" s="3"/>
      <c r="T19" s="11"/>
      <c r="U19" s="3"/>
      <c r="V19" s="3"/>
      <c r="W19" s="3"/>
      <c r="X19" s="3"/>
      <c r="Y19" s="3"/>
    </row>
    <row r="20" ht="13.5" customHeight="1">
      <c r="A20" s="8" t="s">
        <v>63</v>
      </c>
      <c r="B20" s="9">
        <v>46027.0</v>
      </c>
      <c r="C20" s="8" t="s">
        <v>64</v>
      </c>
      <c r="D20" s="10" t="s">
        <v>65</v>
      </c>
      <c r="E20" s="10">
        <v>32.0</v>
      </c>
      <c r="F20" s="10" t="s">
        <v>66</v>
      </c>
      <c r="G20" s="10" t="s">
        <v>66</v>
      </c>
      <c r="H20" s="10">
        <f t="shared" si="1"/>
        <v>800000</v>
      </c>
      <c r="I20" s="10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11"/>
      <c r="V20" s="3"/>
      <c r="W20" s="3"/>
      <c r="X20" s="3"/>
      <c r="Y20" s="3"/>
    </row>
    <row r="21" ht="13.5" customHeight="1">
      <c r="A21" s="8" t="s">
        <v>63</v>
      </c>
      <c r="B21" s="9">
        <v>46058.0</v>
      </c>
      <c r="C21" s="8" t="s">
        <v>67</v>
      </c>
      <c r="D21" s="10" t="s">
        <v>68</v>
      </c>
      <c r="E21" s="10">
        <v>16.0</v>
      </c>
      <c r="F21" s="10" t="s">
        <v>69</v>
      </c>
      <c r="G21" s="10" t="s">
        <v>69</v>
      </c>
      <c r="H21" s="10">
        <f t="shared" si="1"/>
        <v>400000</v>
      </c>
      <c r="I21" s="10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11"/>
      <c r="W21" s="3"/>
      <c r="X21" s="3"/>
      <c r="Y21" s="3"/>
    </row>
    <row r="22" ht="13.5" customHeight="1">
      <c r="A22" s="8" t="s">
        <v>63</v>
      </c>
      <c r="B22" s="9">
        <v>46086.0</v>
      </c>
      <c r="C22" s="8" t="s">
        <v>70</v>
      </c>
      <c r="D22" s="10" t="s">
        <v>71</v>
      </c>
      <c r="E22" s="10">
        <v>16.0</v>
      </c>
      <c r="F22" s="10" t="s">
        <v>69</v>
      </c>
      <c r="G22" s="10" t="s">
        <v>69</v>
      </c>
      <c r="H22" s="10">
        <f t="shared" si="1"/>
        <v>400000</v>
      </c>
      <c r="I22" s="10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11"/>
      <c r="W22" s="3"/>
      <c r="X22" s="3"/>
      <c r="Y22" s="3"/>
    </row>
    <row r="23" ht="13.5" customHeight="1">
      <c r="A23" s="8" t="s">
        <v>63</v>
      </c>
      <c r="B23" s="9">
        <v>46117.0</v>
      </c>
      <c r="C23" s="8" t="s">
        <v>72</v>
      </c>
      <c r="D23" s="10" t="s">
        <v>53</v>
      </c>
      <c r="E23" s="10">
        <v>16.0</v>
      </c>
      <c r="F23" s="10" t="s">
        <v>73</v>
      </c>
      <c r="G23" s="10" t="s">
        <v>73</v>
      </c>
      <c r="H23" s="10">
        <f t="shared" si="1"/>
        <v>400000</v>
      </c>
      <c r="I23" s="10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11"/>
      <c r="X23" s="3"/>
      <c r="Y23" s="3"/>
    </row>
    <row r="24" ht="13.5" customHeight="1">
      <c r="A24" s="8" t="s">
        <v>74</v>
      </c>
      <c r="B24" s="9">
        <v>46028.0</v>
      </c>
      <c r="C24" s="8" t="s">
        <v>75</v>
      </c>
      <c r="D24" s="10" t="s">
        <v>76</v>
      </c>
      <c r="E24" s="10">
        <v>32.0</v>
      </c>
      <c r="F24" s="10" t="s">
        <v>73</v>
      </c>
      <c r="G24" s="10" t="s">
        <v>77</v>
      </c>
      <c r="H24" s="10">
        <f t="shared" si="1"/>
        <v>800000</v>
      </c>
      <c r="I24" s="10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11"/>
      <c r="X24" s="11"/>
      <c r="Y24" s="3"/>
    </row>
    <row r="25" ht="13.5" customHeight="1">
      <c r="A25" s="8" t="s">
        <v>78</v>
      </c>
      <c r="B25" s="9">
        <v>46029.0</v>
      </c>
      <c r="C25" s="8" t="s">
        <v>79</v>
      </c>
      <c r="D25" s="10" t="s">
        <v>42</v>
      </c>
      <c r="E25" s="10">
        <v>16.0</v>
      </c>
      <c r="F25" s="10" t="s">
        <v>77</v>
      </c>
      <c r="G25" s="10" t="s">
        <v>77</v>
      </c>
      <c r="H25" s="10">
        <f t="shared" si="1"/>
        <v>400000</v>
      </c>
      <c r="I25" s="10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11"/>
      <c r="Y25" s="3"/>
    </row>
    <row r="26" ht="13.5" customHeight="1">
      <c r="A26" s="8" t="s">
        <v>78</v>
      </c>
      <c r="B26" s="9">
        <v>46060.0</v>
      </c>
      <c r="C26" s="8" t="s">
        <v>80</v>
      </c>
      <c r="D26" s="10" t="s">
        <v>81</v>
      </c>
      <c r="E26" s="10">
        <v>16.0</v>
      </c>
      <c r="F26" s="10" t="s">
        <v>77</v>
      </c>
      <c r="G26" s="10" t="s">
        <v>77</v>
      </c>
      <c r="H26" s="10">
        <f t="shared" si="1"/>
        <v>400000</v>
      </c>
      <c r="I26" s="10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11"/>
      <c r="Y26" s="3"/>
    </row>
    <row r="27" ht="13.5" customHeight="1">
      <c r="A27" s="8" t="s">
        <v>82</v>
      </c>
      <c r="B27" s="12"/>
      <c r="C27" s="12"/>
      <c r="D27" s="12"/>
      <c r="E27" s="8">
        <f>SUM(E7:E26)</f>
        <v>496</v>
      </c>
      <c r="F27" s="12"/>
      <c r="G27" s="12"/>
      <c r="H27" s="10">
        <f t="shared" si="1"/>
        <v>12400000</v>
      </c>
      <c r="I27" s="12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3.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3.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3.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3.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3.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3.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3.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3.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3.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3.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3.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3.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3.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3.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3.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3.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3.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3.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3.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3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3.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13.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3.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3.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13.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13.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13.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13.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13.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13.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13.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13.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13.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13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13.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13.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13.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13.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13.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13.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13.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13.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13.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13.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13.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13.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13.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ht="13.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ht="13.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ht="13.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ht="13.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ht="13.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ht="13.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ht="13.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ht="13.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ht="13.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ht="13.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ht="13.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ht="13.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ht="13.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3.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ht="13.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13.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3.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ht="13.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ht="13.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ht="13.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ht="13.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ht="13.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ht="13.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ht="13.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ht="13.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ht="13.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ht="13.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ht="13.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ht="13.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ht="13.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ht="13.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ht="13.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ht="13.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ht="13.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ht="13.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ht="13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ht="13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ht="13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ht="13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ht="13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ht="13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ht="13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ht="13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ht="13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ht="13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ht="13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ht="13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ht="13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ht="13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ht="13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ht="13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ht="13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ht="13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ht="13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ht="13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ht="13.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ht="13.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ht="13.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ht="13.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ht="13.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ht="13.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ht="13.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ht="13.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ht="13.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ht="13.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ht="13.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ht="13.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ht="13.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ht="13.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ht="13.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ht="13.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ht="13.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ht="13.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ht="13.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ht="13.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ht="13.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ht="13.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ht="13.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ht="13.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ht="13.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ht="13.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ht="13.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ht="13.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ht="13.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ht="13.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ht="13.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ht="13.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ht="13.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ht="13.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ht="13.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ht="13.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ht="13.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ht="13.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ht="13.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ht="13.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ht="13.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ht="13.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ht="13.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ht="13.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ht="13.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ht="13.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ht="13.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ht="13.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ht="13.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ht="13.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ht="13.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ht="13.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ht="13.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ht="13.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ht="13.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ht="13.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ht="13.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ht="13.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ht="13.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ht="13.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ht="13.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ht="13.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ht="13.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ht="13.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ht="13.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ht="13.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ht="13.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ht="13.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ht="13.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ht="13.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ht="13.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ht="13.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ht="13.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ht="13.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ht="13.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ht="13.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ht="13.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ht="13.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ht="13.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ht="13.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ht="13.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ht="13.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ht="13.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ht="13.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ht="13.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ht="13.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ht="13.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ht="13.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ht="13.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ht="13.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ht="13.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ht="13.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ht="13.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ht="13.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ht="13.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ht="13.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ht="13.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ht="13.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ht="13.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ht="13.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ht="13.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ht="13.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ht="13.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ht="13.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ht="13.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ht="13.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ht="13.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ht="13.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ht="13.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ht="13.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ht="13.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ht="13.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ht="13.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ht="13.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ht="13.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ht="13.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ht="13.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ht="13.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ht="13.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ht="13.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ht="13.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ht="13.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ht="13.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ht="13.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ht="13.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ht="13.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ht="13.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ht="13.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ht="13.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ht="13.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ht="13.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ht="13.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ht="13.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ht="13.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ht="13.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ht="13.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ht="13.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ht="13.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ht="13.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ht="13.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ht="13.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ht="13.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ht="13.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ht="13.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ht="13.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ht="13.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ht="13.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ht="13.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ht="13.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ht="13.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ht="13.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ht="13.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ht="13.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ht="13.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ht="13.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ht="13.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ht="13.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ht="13.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ht="13.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ht="13.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ht="13.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ht="13.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ht="13.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ht="13.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ht="13.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ht="13.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ht="13.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ht="13.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ht="13.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ht="13.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ht="13.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ht="13.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ht="13.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ht="13.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ht="13.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ht="13.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ht="13.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ht="13.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ht="13.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ht="13.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ht="13.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ht="13.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ht="13.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ht="13.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ht="13.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ht="13.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ht="13.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ht="13.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ht="13.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ht="13.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ht="13.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ht="13.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ht="13.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ht="13.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ht="13.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ht="13.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ht="13.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ht="13.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ht="13.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ht="13.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ht="13.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ht="13.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ht="13.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ht="13.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ht="13.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ht="13.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ht="13.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ht="13.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ht="13.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ht="13.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ht="13.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ht="13.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ht="13.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ht="13.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ht="13.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ht="13.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ht="13.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ht="13.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ht="13.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ht="13.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ht="13.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ht="13.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ht="13.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ht="13.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ht="13.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ht="13.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ht="13.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ht="13.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ht="13.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ht="13.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ht="13.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ht="13.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ht="13.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ht="13.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ht="13.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ht="13.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ht="13.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ht="13.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ht="13.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ht="13.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ht="13.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ht="13.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ht="13.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ht="13.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ht="13.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ht="13.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ht="13.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ht="13.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ht="13.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ht="13.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ht="13.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ht="13.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ht="13.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ht="13.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ht="13.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ht="13.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ht="13.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ht="13.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ht="13.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ht="13.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ht="13.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ht="13.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ht="13.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ht="13.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ht="13.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ht="13.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ht="13.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ht="13.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ht="13.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ht="13.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ht="13.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ht="13.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ht="13.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ht="13.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ht="13.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ht="13.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ht="13.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ht="13.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ht="13.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ht="13.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ht="13.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ht="13.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ht="13.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ht="13.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ht="13.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ht="13.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ht="13.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ht="13.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ht="13.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ht="13.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ht="13.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ht="13.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ht="13.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ht="13.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ht="13.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ht="13.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ht="13.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ht="13.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ht="13.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ht="13.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ht="13.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ht="13.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ht="13.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ht="13.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ht="13.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ht="13.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ht="13.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ht="13.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ht="13.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ht="13.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ht="13.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ht="13.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ht="13.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ht="13.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ht="13.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ht="13.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ht="13.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ht="13.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ht="13.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ht="13.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ht="13.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ht="13.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ht="13.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ht="13.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ht="13.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ht="13.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ht="13.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ht="13.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ht="13.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ht="13.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ht="13.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ht="13.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ht="13.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ht="13.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ht="13.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ht="13.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ht="13.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ht="13.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ht="13.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ht="13.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ht="13.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ht="13.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ht="13.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ht="13.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ht="13.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ht="13.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ht="13.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ht="13.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ht="13.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ht="13.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ht="13.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ht="13.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ht="13.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ht="13.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ht="13.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ht="13.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ht="13.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ht="13.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ht="13.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ht="13.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ht="13.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ht="13.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ht="13.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ht="13.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ht="13.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ht="13.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ht="13.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ht="13.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ht="13.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ht="13.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ht="13.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ht="13.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ht="13.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ht="13.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ht="13.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ht="13.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ht="13.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ht="13.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ht="13.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ht="13.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ht="13.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ht="13.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ht="13.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ht="13.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ht="13.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ht="13.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ht="13.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ht="13.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ht="13.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ht="13.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ht="13.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ht="13.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ht="13.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ht="13.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ht="13.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ht="13.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ht="13.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ht="13.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ht="13.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ht="13.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ht="13.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ht="13.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ht="13.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ht="13.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ht="13.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ht="13.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ht="13.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ht="13.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ht="13.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ht="13.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ht="13.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ht="13.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ht="13.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ht="13.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ht="13.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ht="13.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ht="13.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ht="13.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ht="13.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ht="13.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ht="13.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ht="13.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ht="13.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ht="13.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ht="13.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ht="13.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ht="13.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ht="13.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ht="13.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ht="13.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ht="13.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ht="13.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ht="13.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ht="13.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ht="13.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ht="13.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ht="13.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ht="13.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ht="13.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ht="13.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ht="13.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ht="13.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ht="13.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ht="13.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ht="13.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ht="13.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ht="13.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ht="13.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ht="13.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ht="13.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ht="13.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ht="13.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ht="13.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ht="13.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ht="13.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ht="13.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ht="13.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ht="13.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ht="13.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ht="13.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ht="13.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ht="13.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ht="13.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ht="13.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ht="13.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ht="13.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ht="13.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ht="13.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ht="13.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ht="13.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ht="13.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ht="13.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ht="13.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ht="13.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ht="13.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ht="13.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ht="13.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ht="13.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ht="13.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ht="13.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ht="13.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ht="13.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ht="13.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ht="13.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ht="13.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ht="13.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ht="13.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ht="13.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ht="13.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ht="13.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ht="13.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ht="13.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ht="13.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ht="13.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ht="13.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ht="13.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ht="13.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ht="13.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ht="13.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ht="13.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ht="13.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ht="13.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ht="13.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ht="13.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ht="13.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ht="13.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ht="13.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ht="13.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ht="13.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ht="13.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ht="13.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ht="13.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ht="13.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ht="13.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ht="13.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ht="13.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ht="13.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ht="13.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ht="13.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ht="13.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ht="13.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ht="13.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ht="13.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ht="13.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ht="13.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ht="13.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ht="13.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ht="13.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ht="13.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ht="13.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ht="13.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ht="13.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ht="13.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ht="13.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ht="13.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ht="13.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ht="13.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ht="13.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ht="13.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ht="13.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ht="13.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ht="13.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ht="13.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ht="13.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ht="13.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ht="13.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ht="13.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ht="13.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ht="13.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ht="13.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ht="13.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ht="13.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ht="13.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ht="13.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ht="13.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ht="13.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ht="13.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ht="13.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ht="13.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ht="13.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ht="13.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ht="13.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ht="13.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ht="13.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ht="13.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ht="13.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ht="13.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ht="13.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ht="13.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ht="13.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ht="13.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ht="13.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ht="13.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ht="13.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ht="13.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ht="13.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ht="13.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ht="13.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ht="13.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ht="13.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ht="13.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ht="13.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ht="13.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ht="13.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ht="13.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ht="13.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ht="13.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ht="13.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ht="13.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ht="13.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ht="13.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ht="13.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ht="13.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ht="13.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ht="13.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ht="13.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ht="13.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ht="13.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ht="13.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ht="13.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ht="13.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ht="13.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ht="13.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ht="13.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ht="13.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ht="13.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ht="13.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ht="13.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ht="13.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ht="13.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ht="13.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ht="13.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ht="13.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ht="13.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ht="13.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ht="13.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ht="13.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ht="13.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ht="13.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ht="13.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ht="13.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ht="13.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ht="13.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ht="13.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ht="13.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ht="13.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ht="13.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ht="13.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ht="13.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ht="13.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ht="13.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ht="13.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ht="13.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ht="13.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ht="13.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ht="13.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ht="13.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ht="13.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ht="13.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ht="13.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ht="13.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ht="13.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ht="13.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ht="13.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ht="13.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ht="13.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ht="13.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ht="13.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ht="13.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ht="13.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ht="13.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ht="13.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ht="13.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ht="13.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ht="13.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ht="13.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ht="13.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ht="13.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ht="13.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ht="13.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ht="13.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ht="13.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ht="13.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ht="13.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ht="13.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ht="13.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ht="13.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ht="13.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ht="13.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ht="13.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ht="13.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ht="13.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ht="13.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ht="13.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ht="13.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ht="13.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ht="13.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ht="13.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ht="13.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ht="13.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ht="13.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ht="13.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ht="13.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ht="13.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ht="13.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ht="13.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ht="13.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ht="13.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ht="13.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ht="13.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ht="13.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ht="13.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ht="13.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ht="13.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ht="13.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ht="13.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ht="13.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ht="13.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ht="13.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ht="13.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ht="13.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ht="13.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ht="13.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ht="13.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ht="13.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ht="13.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ht="13.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ht="13.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ht="13.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ht="13.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ht="13.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ht="13.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ht="13.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ht="13.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ht="13.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ht="13.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ht="13.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ht="13.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ht="13.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ht="13.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ht="13.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ht="13.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ht="13.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ht="13.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ht="13.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ht="13.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ht="13.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ht="13.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ht="13.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ht="13.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ht="13.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ht="13.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ht="13.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ht="13.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ht="13.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ht="13.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ht="13.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ht="13.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ht="13.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ht="13.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ht="13.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ht="13.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ht="13.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ht="13.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ht="13.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ht="13.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ht="13.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ht="13.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ht="13.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ht="13.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ht="13.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ht="13.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ht="13.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ht="13.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ht="13.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ht="13.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ht="13.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ht="13.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ht="13.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ht="13.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ht="13.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ht="13.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ht="13.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ht="13.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ht="13.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ht="13.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ht="13.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ht="13.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ht="13.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ht="13.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ht="13.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ht="13.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ht="13.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ht="13.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ht="13.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ht="13.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ht="13.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ht="13.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ht="13.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ht="13.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ht="13.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ht="13.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ht="13.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ht="13.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ht="13.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ht="13.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ht="13.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ht="13.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ht="13.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ht="13.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ht="13.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ht="13.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ht="13.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ht="13.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ht="13.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ht="13.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ht="13.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ht="13.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ht="13.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ht="13.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ht="13.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ht="13.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ht="13.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ht="13.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ht="13.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ht="13.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ht="13.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ht="13.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ht="13.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</sheetData>
  <mergeCells count="4">
    <mergeCell ref="A1:X1"/>
    <mergeCell ref="A3:Y3"/>
    <mergeCell ref="A4:X4"/>
    <mergeCell ref="I5:X5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2021-12-27T22:07:09Z</dcterms:created>
</cp:coreProperties>
</file>