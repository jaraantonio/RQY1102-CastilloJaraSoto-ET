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onio\Documents\Studies\[01] Ingeniería en Informática\Semestre 03\RQY1102 - Ingeniería de Software\RQY1102-CastilloJaraSoto-ET\"/>
    </mc:Choice>
  </mc:AlternateContent>
  <xr:revisionPtr revIDLastSave="0" documentId="13_ncr:1_{AF250E8C-1C63-4A8C-9E2F-5AE63EABF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M64FCM1rd3wt/oEsTj7eS4gTsoQG1EM2R6eliqdro="/>
    </ext>
  </extLst>
</workbook>
</file>

<file path=xl/calcChain.xml><?xml version="1.0" encoding="utf-8"?>
<calcChain xmlns="http://schemas.openxmlformats.org/spreadsheetml/2006/main">
  <c r="H27" i="1" l="1"/>
  <c r="E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<sst xmlns="http://schemas.openxmlformats.org/spreadsheetml/2006/main" count="129" uniqueCount="83">
  <si>
    <t>Planificación del proyecto</t>
  </si>
  <si>
    <r>
      <rPr>
        <b/>
        <sz val="11"/>
        <color rgb="FF000000"/>
        <rFont val="Google Sans Text"/>
      </rPr>
      <t>Metodología de Gestión</t>
    </r>
    <r>
      <rPr>
        <sz val="11"/>
        <color rgb="FF000000"/>
        <rFont val="Google Sans Text"/>
      </rPr>
      <t>: Cascada/Waterfall</t>
    </r>
  </si>
  <si>
    <r>
      <rPr>
        <b/>
        <sz val="11"/>
        <color theme="1"/>
        <rFont val="Google Sans Text"/>
      </rPr>
      <t>Alcance del sistema</t>
    </r>
    <r>
      <rPr>
        <sz val="11"/>
        <color theme="1"/>
        <rFont val="Google Sans Text"/>
      </rPr>
      <t>: Sistema de Gestión Administrativa Edificio "El Mirador" (Módulos de Residentes, Pagos, Solicitudes, Quejas e Informes)</t>
    </r>
  </si>
  <si>
    <t>PERIODOS (SEMANAS)</t>
  </si>
  <si>
    <t>Fase del Desarrollo</t>
  </si>
  <si>
    <t>ID</t>
  </si>
  <si>
    <t>TAREA / ACTIVIDAD</t>
  </si>
  <si>
    <t>ROL</t>
  </si>
  <si>
    <t>DURACION (HORAS-HOMBRE)</t>
  </si>
  <si>
    <t>INICIO</t>
  </si>
  <si>
    <t>TÉRMINO</t>
  </si>
  <si>
    <t>COSTO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</si>
  <si>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</si>
  <si>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</si>
  <si>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</si>
  <si>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</si>
  <si>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</si>
  <si>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</si>
  <si>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</si>
  <si>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</si>
  <si>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</si>
  <si>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</si>
  <si>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</si>
  <si>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</si>
  <si>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</si>
  <si>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</si>
  <si>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</si>
  <si>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</si>
  <si>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Planificación</t>
  </si>
  <si>
    <t>Definir el problema de gestión del edificio.</t>
  </si>
  <si>
    <t>Gestor de Proyecto</t>
  </si>
  <si>
    <t>Sem 1</t>
  </si>
  <si>
    <t>Estructurar el equipo y planificar el cronograma (Gantt).</t>
  </si>
  <si>
    <t>Sem 2</t>
  </si>
  <si>
    <t>Análisis</t>
  </si>
  <si>
    <t>Levantar y validar requisitos bajo normas IEEE 830.</t>
  </si>
  <si>
    <t>Analista</t>
  </si>
  <si>
    <t>Sem 3</t>
  </si>
  <si>
    <t>Modelado de Procesos del Negocio: Modelar los flujos de información y flujos operativos del edificio (Diagramas de Procesos As-Is y To-Be).</t>
  </si>
  <si>
    <t>Sem 4</t>
  </si>
  <si>
    <t>Diseño</t>
  </si>
  <si>
    <t>Seleccionar el patron implementado (Microservicios) y definir atributos de calidad.</t>
  </si>
  <si>
    <t>Arquitecto</t>
  </si>
  <si>
    <t>Sem 5</t>
  </si>
  <si>
    <t>Elaborar diagramas UML de las Vistas Lógica y de Escenarios (Casos de Uso, Clases, Secuencia, Comunicación).</t>
  </si>
  <si>
    <t>Diseñador</t>
  </si>
  <si>
    <t>Sem 6</t>
  </si>
  <si>
    <t>Elaborar diagramas UML de las Vistas de Desarrollo, Procesos y Física (Componentes, Paquetes, Actividades, Despliegue).</t>
  </si>
  <si>
    <t>Sem 7</t>
  </si>
  <si>
    <t>Modelar la BD y diseñar prototipos de la interfaz.</t>
  </si>
  <si>
    <t>DBA / Diseñador UX</t>
  </si>
  <si>
    <t>Desarrollo</t>
  </si>
  <si>
    <t>Core: Codificar bases del sistema, persistencia y control de acceso por roles, entregando el microservicio funcional MS_Core.</t>
  </si>
  <si>
    <t>Desarrollador</t>
  </si>
  <si>
    <t>Sem 8</t>
  </si>
  <si>
    <t>Sem 9</t>
  </si>
  <si>
    <t>Gestión Base: Implementar módulos esenciales (Residentes, Unidades) asegurando la operatividad de los requisitos funcionales RF-01 a RF-10.</t>
  </si>
  <si>
    <t>Sem 10</t>
  </si>
  <si>
    <t>Lógica Transaccional: Desarrollar los servicios financieros complejos (gastos comunes), garantizando tolerancia a fallos y precisión monetaria exacta en MS_Finanzas.jar.</t>
  </si>
  <si>
    <t>Sem 11</t>
  </si>
  <si>
    <t>Mensajería Asíncrona: Implementar en los módulos comunicación desacoplada mediante un Bus de Eventos (EventBus) e integrar MS_Notificaciones.jar.</t>
  </si>
  <si>
    <t>Sem 12</t>
  </si>
  <si>
    <t>Interfaz y Consolidación: Desarrollar la interfaz (Web/Móvil responsivo) e integrar el API Gateway encargado de dirigir el tráfico de manera segura hacia el backend.</t>
  </si>
  <si>
    <t>Pruebas</t>
  </si>
  <si>
    <t>Pruebas de Componentes e Integración: Ejecución automatizada de pruebas unitarias y de integración entre microservicios.</t>
  </si>
  <si>
    <t>Tester / QA</t>
  </si>
  <si>
    <t>Sem 13</t>
  </si>
  <si>
    <t>Evaluación Heurística de Nielsen: Aplicar las heurísticas y pruebas de usabilidad con usuarios reales para consolidar las métricas de calidad esperadas.</t>
  </si>
  <si>
    <t>Diseñador UX</t>
  </si>
  <si>
    <t>Sem 14</t>
  </si>
  <si>
    <t>Conducir sesiones de validación en entornos pre-productivos con los stakeholders del edificio.</t>
  </si>
  <si>
    <t>Gestor / QA</t>
  </si>
  <si>
    <t>Mitigación de Defectos y Regresión: Corrección estricta de bugs detectados y escaneo de código estático para garantizar una entrega sin vulnerabilidades críticas.</t>
  </si>
  <si>
    <t>Sem 15</t>
  </si>
  <si>
    <t>Despliegue</t>
  </si>
  <si>
    <t>Configurar infraestructura cloud y desplegar el ecosistema en producción.</t>
  </si>
  <si>
    <t>Ing. DevOps</t>
  </si>
  <si>
    <t>Sem 16</t>
  </si>
  <si>
    <t>Mantenimiento</t>
  </si>
  <si>
    <t>Redactar manuales técnicos, documentación de la API y guías de mantenimiento preventivo/correctivo.</t>
  </si>
  <si>
    <t>Ejecutar las jornadas formativas certificadas para los administradores del edificio, entrega de credenciales maestras y firma del Cierre del Proyecto.</t>
  </si>
  <si>
    <t>Gestor / Analista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</si>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</sst>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7" formatCode="&quot;$&quot;#,##0"/>
  </numFmts>
  <fonts count="9">
    <font>
      <sz val="11"/>
      <color rgb="FF3F3F3F"/>
      <name val="Corbel"/>
      <scheme val="minor"/>
    </font>
    <font>
      <b/>
      <sz val="30"/>
      <color rgb="FF000000"/>
      <name val="Google Sans Text"/>
    </font>
    <font>
      <sz val="30"/>
      <color rgb="FF000000"/>
      <name val="Google Sans Text"/>
    </font>
    <font>
      <sz val="11"/>
      <color rgb="FF000000"/>
      <name val="Google Sans Text"/>
    </font>
    <font>
      <sz val="11"/>
      <color theme="1"/>
      <name val="Google Sans Text"/>
    </font>
    <font>
      <b/>
      <sz val="11"/>
      <color rgb="FF000000"/>
      <name val="Google Sans Text"/>
    </font>
    <font>
      <b/>
      <sz val="11"/>
      <color rgb="FF1F1F1F"/>
      <name val="Google Sans Text"/>
    </font>
    <font>
      <sz val="11"/>
      <color rgb="FF1F1F1F"/>
      <name val="Google Sans Text"/>
    </font>
    <font>
      <b/>
      <sz val="11"/>
      <color theme="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167" fontId="3" fillId="0" borderId="0" xfId="0" applyNumberFormat="1" applyFont="1" applyAlignment="1">
      <alignment horizontal="left" vertical="top" wrapText="1"/>
    </xf>
    <xf numFmtId="167" fontId="5" fillId="0" borderId="0" xfId="0" applyNumberFormat="1" applyFont="1" applyAlignment="1">
      <alignment horizontal="left" vertical="top" wrapText="1"/>
    </xf>
    <xf numFmtId="167" fontId="7" fillId="0" borderId="0" xfId="0" applyNumberFormat="1" applyFont="1" applyAlignment="1">
      <alignment horizontal="left" vertical="top" wrapText="1"/>
    </xf>
    <xf numFmtId="167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8"/>
  <sheetViews>
    <sheetView tabSelected="1" workbookViewId="0">
      <selection activeCell="D10" sqref="D10"/>
    </sheetView>
  </sheetViews>
  <sheetFormatPr defaultColWidth="12.625" defaultRowHeight="15"/>
  <cols>
    <col min="1" max="1" width="18" style="14" customWidth="1"/>
    <col min="2" max="2" width="5.625" style="14" customWidth="1"/>
    <col min="3" max="3" width="62.25" style="14" customWidth="1"/>
    <col min="4" max="4" width="14.75" style="14" customWidth="1"/>
    <col min="5" max="5" width="19.75" style="14" customWidth="1"/>
    <col min="6" max="6" width="10.875" style="14" customWidth="1"/>
    <col min="7" max="7" width="11.625" style="14" customWidth="1"/>
    <col min="8" max="8" width="10.875" style="18" customWidth="1"/>
    <col min="9" max="24" width="4.875" style="14" customWidth="1"/>
    <col min="25" max="25" width="10.875" style="14" customWidth="1"/>
    <col min="26" max="16384" width="12.625" style="14"/>
  </cols>
  <sheetData>
    <row r="1" spans="1:25" ht="37.5">
      <c r="A1" s="9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"/>
    </row>
    <row r="2" spans="1:25" ht="16.5" customHeight="1">
      <c r="A2" s="2"/>
      <c r="B2" s="2"/>
      <c r="C2" s="2"/>
      <c r="D2" s="2"/>
      <c r="E2" s="2"/>
      <c r="F2" s="2"/>
      <c r="G2" s="2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5" customHeight="1">
      <c r="A3" s="10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6.5" customHeight="1">
      <c r="A4" s="11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2"/>
    </row>
    <row r="5" spans="1:25" ht="16.5" customHeight="1">
      <c r="A5" s="2"/>
      <c r="B5" s="2"/>
      <c r="C5" s="2"/>
      <c r="D5" s="2"/>
      <c r="E5" s="2"/>
      <c r="F5" s="2"/>
      <c r="G5" s="2"/>
      <c r="H5" s="15"/>
      <c r="I5" s="12" t="s">
        <v>3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2"/>
    </row>
    <row r="6" spans="1:25" ht="30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16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2"/>
    </row>
    <row r="7" spans="1:25" ht="28.5">
      <c r="A7" s="4" t="s">
        <v>28</v>
      </c>
      <c r="B7" s="5">
        <v>46023</v>
      </c>
      <c r="C7" s="4" t="s">
        <v>29</v>
      </c>
      <c r="D7" s="6" t="s">
        <v>30</v>
      </c>
      <c r="E7" s="6">
        <v>16</v>
      </c>
      <c r="F7" s="6" t="s">
        <v>31</v>
      </c>
      <c r="G7" s="6" t="s">
        <v>31</v>
      </c>
      <c r="H7" s="17">
        <f t="shared" ref="H7:H27" si="0">E7*25000</f>
        <v>400000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8.5">
      <c r="A8" s="4" t="s">
        <v>28</v>
      </c>
      <c r="B8" s="5">
        <v>46054</v>
      </c>
      <c r="C8" s="4" t="s">
        <v>32</v>
      </c>
      <c r="D8" s="6" t="s">
        <v>30</v>
      </c>
      <c r="E8" s="6">
        <v>16</v>
      </c>
      <c r="F8" s="6" t="s">
        <v>31</v>
      </c>
      <c r="G8" s="6" t="s">
        <v>33</v>
      </c>
      <c r="H8" s="17">
        <f t="shared" si="0"/>
        <v>400000</v>
      </c>
      <c r="I8" s="7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4" t="s">
        <v>34</v>
      </c>
      <c r="B9" s="5">
        <v>46024</v>
      </c>
      <c r="C9" s="4" t="s">
        <v>35</v>
      </c>
      <c r="D9" s="6" t="s">
        <v>36</v>
      </c>
      <c r="E9" s="6">
        <v>32</v>
      </c>
      <c r="F9" s="6" t="s">
        <v>33</v>
      </c>
      <c r="G9" s="6" t="s">
        <v>37</v>
      </c>
      <c r="H9" s="17">
        <f t="shared" si="0"/>
        <v>800000</v>
      </c>
      <c r="I9" s="6"/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5">
      <c r="A10" s="4" t="s">
        <v>34</v>
      </c>
      <c r="B10" s="5">
        <v>46055</v>
      </c>
      <c r="C10" s="4" t="s">
        <v>38</v>
      </c>
      <c r="D10" s="6" t="s">
        <v>36</v>
      </c>
      <c r="E10" s="6">
        <v>16</v>
      </c>
      <c r="F10" s="6" t="s">
        <v>37</v>
      </c>
      <c r="G10" s="6" t="s">
        <v>39</v>
      </c>
      <c r="H10" s="17">
        <f t="shared" si="0"/>
        <v>400000</v>
      </c>
      <c r="I10" s="6"/>
      <c r="J10" s="2"/>
      <c r="K10" s="7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0">
      <c r="A11" s="4" t="s">
        <v>40</v>
      </c>
      <c r="B11" s="5">
        <v>46025</v>
      </c>
      <c r="C11" s="4" t="s">
        <v>41</v>
      </c>
      <c r="D11" s="6" t="s">
        <v>42</v>
      </c>
      <c r="E11" s="6">
        <v>16</v>
      </c>
      <c r="F11" s="6" t="s">
        <v>39</v>
      </c>
      <c r="G11" s="6" t="s">
        <v>43</v>
      </c>
      <c r="H11" s="17">
        <f t="shared" si="0"/>
        <v>400000</v>
      </c>
      <c r="I11" s="6"/>
      <c r="J11" s="2"/>
      <c r="K11" s="2"/>
      <c r="L11" s="7"/>
      <c r="M11" s="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0">
      <c r="A12" s="4" t="s">
        <v>40</v>
      </c>
      <c r="B12" s="5">
        <v>46056</v>
      </c>
      <c r="C12" s="4" t="s">
        <v>44</v>
      </c>
      <c r="D12" s="6" t="s">
        <v>45</v>
      </c>
      <c r="E12" s="6">
        <v>32</v>
      </c>
      <c r="F12" s="6" t="s">
        <v>43</v>
      </c>
      <c r="G12" s="6" t="s">
        <v>46</v>
      </c>
      <c r="H12" s="17">
        <f t="shared" si="0"/>
        <v>800000</v>
      </c>
      <c r="I12" s="6"/>
      <c r="J12" s="2"/>
      <c r="K12" s="2"/>
      <c r="L12" s="2"/>
      <c r="M12" s="7"/>
      <c r="N12" s="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0">
      <c r="A13" s="4" t="s">
        <v>40</v>
      </c>
      <c r="B13" s="5">
        <v>46084</v>
      </c>
      <c r="C13" s="4" t="s">
        <v>47</v>
      </c>
      <c r="D13" s="6" t="s">
        <v>45</v>
      </c>
      <c r="E13" s="6">
        <v>24</v>
      </c>
      <c r="F13" s="6" t="s">
        <v>46</v>
      </c>
      <c r="G13" s="6" t="s">
        <v>48</v>
      </c>
      <c r="H13" s="17">
        <f t="shared" si="0"/>
        <v>600000</v>
      </c>
      <c r="I13" s="6"/>
      <c r="J13" s="2"/>
      <c r="K13" s="2"/>
      <c r="L13" s="2"/>
      <c r="M13" s="2"/>
      <c r="N13" s="7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8.5">
      <c r="A14" s="4" t="s">
        <v>40</v>
      </c>
      <c r="B14" s="5">
        <v>46115</v>
      </c>
      <c r="C14" s="4" t="s">
        <v>49</v>
      </c>
      <c r="D14" s="6" t="s">
        <v>50</v>
      </c>
      <c r="E14" s="6">
        <v>24</v>
      </c>
      <c r="F14" s="6" t="s">
        <v>48</v>
      </c>
      <c r="G14" s="6" t="s">
        <v>48</v>
      </c>
      <c r="H14" s="17">
        <f t="shared" si="0"/>
        <v>600000</v>
      </c>
      <c r="I14" s="6"/>
      <c r="J14" s="2"/>
      <c r="K14" s="2"/>
      <c r="L14" s="2"/>
      <c r="M14" s="2"/>
      <c r="N14" s="2"/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0">
      <c r="A15" s="4" t="s">
        <v>51</v>
      </c>
      <c r="B15" s="5">
        <v>46026</v>
      </c>
      <c r="C15" s="4" t="s">
        <v>52</v>
      </c>
      <c r="D15" s="6" t="s">
        <v>53</v>
      </c>
      <c r="E15" s="6">
        <v>40</v>
      </c>
      <c r="F15" s="6" t="s">
        <v>54</v>
      </c>
      <c r="G15" s="6" t="s">
        <v>55</v>
      </c>
      <c r="H15" s="17">
        <f t="shared" si="0"/>
        <v>1000000</v>
      </c>
      <c r="I15" s="6"/>
      <c r="J15" s="2"/>
      <c r="K15" s="2"/>
      <c r="L15" s="2"/>
      <c r="M15" s="2"/>
      <c r="N15" s="2"/>
      <c r="O15" s="2"/>
      <c r="P15" s="7"/>
      <c r="Q15" s="7"/>
      <c r="R15" s="2"/>
      <c r="S15" s="2"/>
      <c r="T15" s="2"/>
      <c r="U15" s="2"/>
      <c r="V15" s="2"/>
      <c r="W15" s="2"/>
      <c r="X15" s="2"/>
      <c r="Y15" s="2"/>
    </row>
    <row r="16" spans="1:25" ht="45">
      <c r="A16" s="4" t="s">
        <v>51</v>
      </c>
      <c r="B16" s="5">
        <v>46057</v>
      </c>
      <c r="C16" s="4" t="s">
        <v>56</v>
      </c>
      <c r="D16" s="6" t="s">
        <v>53</v>
      </c>
      <c r="E16" s="6">
        <v>32</v>
      </c>
      <c r="F16" s="6" t="s">
        <v>55</v>
      </c>
      <c r="G16" s="6" t="s">
        <v>57</v>
      </c>
      <c r="H16" s="17">
        <f t="shared" si="0"/>
        <v>800000</v>
      </c>
      <c r="I16" s="6"/>
      <c r="J16" s="2"/>
      <c r="K16" s="2"/>
      <c r="L16" s="2"/>
      <c r="M16" s="2"/>
      <c r="N16" s="2"/>
      <c r="O16" s="2"/>
      <c r="P16" s="2"/>
      <c r="Q16" s="7"/>
      <c r="R16" s="7"/>
      <c r="S16" s="2"/>
      <c r="T16" s="2"/>
      <c r="U16" s="2"/>
      <c r="V16" s="2"/>
      <c r="W16" s="2"/>
      <c r="X16" s="2"/>
      <c r="Y16" s="2"/>
    </row>
    <row r="17" spans="1:25" ht="45">
      <c r="A17" s="4" t="s">
        <v>51</v>
      </c>
      <c r="B17" s="5">
        <v>46085</v>
      </c>
      <c r="C17" s="4" t="s">
        <v>58</v>
      </c>
      <c r="D17" s="6" t="s">
        <v>53</v>
      </c>
      <c r="E17" s="6">
        <v>40</v>
      </c>
      <c r="F17" s="6" t="s">
        <v>57</v>
      </c>
      <c r="G17" s="6" t="s">
        <v>59</v>
      </c>
      <c r="H17" s="17">
        <f t="shared" si="0"/>
        <v>1000000</v>
      </c>
      <c r="I17" s="6"/>
      <c r="J17" s="2"/>
      <c r="K17" s="2"/>
      <c r="L17" s="2"/>
      <c r="M17" s="2"/>
      <c r="N17" s="2"/>
      <c r="O17" s="2"/>
      <c r="P17" s="2"/>
      <c r="Q17" s="2"/>
      <c r="R17" s="7"/>
      <c r="S17" s="7"/>
      <c r="T17" s="2"/>
      <c r="U17" s="2"/>
      <c r="V17" s="2"/>
      <c r="W17" s="2"/>
      <c r="X17" s="2"/>
      <c r="Y17" s="2"/>
    </row>
    <row r="18" spans="1:25" ht="45">
      <c r="A18" s="4" t="s">
        <v>51</v>
      </c>
      <c r="B18" s="5">
        <v>46116</v>
      </c>
      <c r="C18" s="4" t="s">
        <v>60</v>
      </c>
      <c r="D18" s="6" t="s">
        <v>53</v>
      </c>
      <c r="E18" s="6">
        <v>32</v>
      </c>
      <c r="F18" s="6" t="s">
        <v>59</v>
      </c>
      <c r="G18" s="6" t="s">
        <v>61</v>
      </c>
      <c r="H18" s="17">
        <f t="shared" si="0"/>
        <v>800000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7"/>
      <c r="T18" s="7"/>
      <c r="U18" s="2"/>
      <c r="V18" s="2"/>
      <c r="W18" s="2"/>
      <c r="X18" s="2"/>
      <c r="Y18" s="2"/>
    </row>
    <row r="19" spans="1:25" ht="45">
      <c r="A19" s="4" t="s">
        <v>51</v>
      </c>
      <c r="B19" s="5">
        <v>46146</v>
      </c>
      <c r="C19" s="4" t="s">
        <v>62</v>
      </c>
      <c r="D19" s="6" t="s">
        <v>53</v>
      </c>
      <c r="E19" s="6">
        <v>32</v>
      </c>
      <c r="F19" s="6" t="s">
        <v>61</v>
      </c>
      <c r="G19" s="6" t="s">
        <v>61</v>
      </c>
      <c r="H19" s="17">
        <f t="shared" si="0"/>
        <v>800000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7"/>
      <c r="U19" s="2"/>
      <c r="V19" s="2"/>
      <c r="W19" s="2"/>
      <c r="X19" s="2"/>
      <c r="Y19" s="2"/>
    </row>
    <row r="20" spans="1:25" ht="30">
      <c r="A20" s="4" t="s">
        <v>63</v>
      </c>
      <c r="B20" s="5">
        <v>46027</v>
      </c>
      <c r="C20" s="4" t="s">
        <v>64</v>
      </c>
      <c r="D20" s="6" t="s">
        <v>65</v>
      </c>
      <c r="E20" s="6">
        <v>32</v>
      </c>
      <c r="F20" s="6" t="s">
        <v>66</v>
      </c>
      <c r="G20" s="6" t="s">
        <v>66</v>
      </c>
      <c r="H20" s="17">
        <f t="shared" si="0"/>
        <v>800000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7"/>
      <c r="V20" s="2"/>
      <c r="W20" s="2"/>
      <c r="X20" s="2"/>
      <c r="Y20" s="2"/>
    </row>
    <row r="21" spans="1:25" ht="45">
      <c r="A21" s="4" t="s">
        <v>63</v>
      </c>
      <c r="B21" s="5">
        <v>46058</v>
      </c>
      <c r="C21" s="4" t="s">
        <v>67</v>
      </c>
      <c r="D21" s="6" t="s">
        <v>68</v>
      </c>
      <c r="E21" s="6">
        <v>16</v>
      </c>
      <c r="F21" s="6" t="s">
        <v>69</v>
      </c>
      <c r="G21" s="6" t="s">
        <v>69</v>
      </c>
      <c r="H21" s="17">
        <f t="shared" si="0"/>
        <v>400000</v>
      </c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7"/>
      <c r="W21" s="2"/>
      <c r="X21" s="2"/>
      <c r="Y21" s="2"/>
    </row>
    <row r="22" spans="1:25" ht="30">
      <c r="A22" s="4" t="s">
        <v>63</v>
      </c>
      <c r="B22" s="5">
        <v>46086</v>
      </c>
      <c r="C22" s="4" t="s">
        <v>70</v>
      </c>
      <c r="D22" s="6" t="s">
        <v>71</v>
      </c>
      <c r="E22" s="6">
        <v>16</v>
      </c>
      <c r="F22" s="6" t="s">
        <v>69</v>
      </c>
      <c r="G22" s="6" t="s">
        <v>69</v>
      </c>
      <c r="H22" s="17">
        <f t="shared" si="0"/>
        <v>400000</v>
      </c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7"/>
      <c r="W22" s="2"/>
      <c r="X22" s="2"/>
      <c r="Y22" s="2"/>
    </row>
    <row r="23" spans="1:25" ht="45">
      <c r="A23" s="4" t="s">
        <v>63</v>
      </c>
      <c r="B23" s="5">
        <v>46117</v>
      </c>
      <c r="C23" s="4" t="s">
        <v>72</v>
      </c>
      <c r="D23" s="6" t="s">
        <v>53</v>
      </c>
      <c r="E23" s="6">
        <v>16</v>
      </c>
      <c r="F23" s="6" t="s">
        <v>73</v>
      </c>
      <c r="G23" s="6" t="s">
        <v>73</v>
      </c>
      <c r="H23" s="17">
        <f t="shared" si="0"/>
        <v>400000</v>
      </c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  <c r="X23" s="2"/>
      <c r="Y23" s="2"/>
    </row>
    <row r="24" spans="1:25" ht="30">
      <c r="A24" s="4" t="s">
        <v>74</v>
      </c>
      <c r="B24" s="5">
        <v>46028</v>
      </c>
      <c r="C24" s="4" t="s">
        <v>75</v>
      </c>
      <c r="D24" s="6" t="s">
        <v>76</v>
      </c>
      <c r="E24" s="6">
        <v>32</v>
      </c>
      <c r="F24" s="6" t="s">
        <v>73</v>
      </c>
      <c r="G24" s="6" t="s">
        <v>77</v>
      </c>
      <c r="H24" s="17">
        <f t="shared" si="0"/>
        <v>800000</v>
      </c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  <c r="X24" s="7"/>
      <c r="Y24" s="2"/>
    </row>
    <row r="25" spans="1:25" ht="30">
      <c r="A25" s="4" t="s">
        <v>78</v>
      </c>
      <c r="B25" s="5">
        <v>46029</v>
      </c>
      <c r="C25" s="4" t="s">
        <v>79</v>
      </c>
      <c r="D25" s="6" t="s">
        <v>42</v>
      </c>
      <c r="E25" s="6">
        <v>16</v>
      </c>
      <c r="F25" s="6" t="s">
        <v>77</v>
      </c>
      <c r="G25" s="6" t="s">
        <v>77</v>
      </c>
      <c r="H25" s="17">
        <f t="shared" si="0"/>
        <v>400000</v>
      </c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7"/>
      <c r="Y25" s="2"/>
    </row>
    <row r="26" spans="1:25" ht="45">
      <c r="A26" s="4" t="s">
        <v>78</v>
      </c>
      <c r="B26" s="5">
        <v>46060</v>
      </c>
      <c r="C26" s="4" t="s">
        <v>80</v>
      </c>
      <c r="D26" s="6" t="s">
        <v>81</v>
      </c>
      <c r="E26" s="6">
        <v>16</v>
      </c>
      <c r="F26" s="6" t="s">
        <v>77</v>
      </c>
      <c r="G26" s="6" t="s">
        <v>77</v>
      </c>
      <c r="H26" s="17">
        <f t="shared" si="0"/>
        <v>400000</v>
      </c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7"/>
      <c r="Y26" s="2"/>
    </row>
    <row r="27" spans="1:25">
      <c r="A27" s="4" t="s">
        <v>82</v>
      </c>
      <c r="B27" s="8"/>
      <c r="C27" s="8"/>
      <c r="D27" s="8"/>
      <c r="E27" s="4">
        <f>SUM(E7:E26)</f>
        <v>496</v>
      </c>
      <c r="F27" s="8"/>
      <c r="G27" s="8"/>
      <c r="H27" s="17">
        <f>E27*25000</f>
        <v>12400000</v>
      </c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1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1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1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1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1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1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1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1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1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1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1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1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1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1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1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1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1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1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1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1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1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1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1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1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1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1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1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1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1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1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1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1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1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1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1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1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1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1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1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1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1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1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1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1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1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1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1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1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1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1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1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1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1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1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1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1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1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1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1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1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1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1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1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1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1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1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1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1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1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1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1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1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1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1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1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1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1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1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1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1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1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1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1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1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1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1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1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1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1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1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1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1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1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1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1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1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1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1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1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1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1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1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1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1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1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1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1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1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1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1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1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1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1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1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1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1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1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1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1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1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1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1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1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1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1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1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1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1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1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1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1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1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1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1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1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1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1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1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1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1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1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1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1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1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1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1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1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1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1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1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1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1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1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1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1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1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1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1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1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1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1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1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1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1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1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1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1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1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1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1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1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1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1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1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1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1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1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1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1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1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1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1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1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1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1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1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1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1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1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1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1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1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1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1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1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1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1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1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1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1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1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1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1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1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1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1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1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1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1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1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1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1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1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1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1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1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1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1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1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1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1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1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1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1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1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1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1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1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1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1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1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1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1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1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1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1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1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1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1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1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1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1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1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1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1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1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1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1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1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1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1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1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1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1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1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1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1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1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1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1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1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1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1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1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1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1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1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1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1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1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1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1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1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1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1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1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1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1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1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1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1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1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1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1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1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1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1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1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1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1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1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1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1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1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1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1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1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1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1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1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1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1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1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1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1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1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1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1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1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1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1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1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1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1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1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1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1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1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1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1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1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1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1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1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1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1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1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1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1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1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1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1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1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1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1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1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1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1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1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1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1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1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1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1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1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1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1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1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1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1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1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1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1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1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1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1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1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1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1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1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1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1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1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1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1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1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1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1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1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1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1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1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1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1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1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1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1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1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1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1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1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1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1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1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1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1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1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1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1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1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1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1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1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1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1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1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1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1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1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1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1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1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1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1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1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1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1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1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1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1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1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1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1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1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1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1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1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1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1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1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1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1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1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1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1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1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1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1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1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1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1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1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1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1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1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1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1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1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1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1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1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1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1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1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1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1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1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1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1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1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1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1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1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1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1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1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1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1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1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1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1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1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1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1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1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1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1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1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1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1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1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1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1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1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1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1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1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1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1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1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1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1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1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1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1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1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1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1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1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1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1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1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1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1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1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1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1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1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1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1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1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1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1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1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1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1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1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1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1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1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1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1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1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1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1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1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1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1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1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1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1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1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1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1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1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1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1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1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1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1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1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1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1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1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1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1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1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1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1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1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1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1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1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1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1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1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1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1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1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1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1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1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1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1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1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1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1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1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1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1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1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1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1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1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1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1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1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1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1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1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1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1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1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1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1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1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1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1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1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1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1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1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1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1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1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1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1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1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1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1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1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1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1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1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1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1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1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1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1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1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1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1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1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1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1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1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1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1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1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1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1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1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1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1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1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1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1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1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1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1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1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1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1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1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1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1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1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1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1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1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1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1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1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1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1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1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1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1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1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1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1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1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1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1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1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1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1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1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1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1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1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1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1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1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1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1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1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1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1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1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1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1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1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1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1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1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1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1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1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1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1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1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1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1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1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1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1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1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1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1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1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1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1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1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1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1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1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1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1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1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1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1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1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1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1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1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1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1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1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1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1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1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1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1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1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1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1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1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1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1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1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1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1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1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1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1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1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1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1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1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1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1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1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1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1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1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1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1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1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1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1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1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1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1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1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1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1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1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1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1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1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1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1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1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1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1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1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1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1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1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1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1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1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1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1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1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1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1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1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1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1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1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1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1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1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1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1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1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1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1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1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1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1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1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1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1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1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1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1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1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1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1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1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1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1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1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1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1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1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1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1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1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1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1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1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1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1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1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1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1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1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1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1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1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1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1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1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1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1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1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1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1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1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1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1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1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1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1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1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1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1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1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1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1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1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1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1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1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1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1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1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1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1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1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1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1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1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1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1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1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1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1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1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1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1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1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1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1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1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1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1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1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1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1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1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1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1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1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1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1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1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1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1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1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1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1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1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1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1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1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1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1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1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1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1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1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1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1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1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1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1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1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1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1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1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1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1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1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1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1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1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1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1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1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1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1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1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1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1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1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1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1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1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1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1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1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1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1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1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</sheetData>
  <mergeCells count="4">
    <mergeCell ref="A1:X1"/>
    <mergeCell ref="A3:Y3"/>
    <mergeCell ref="A4:X4"/>
    <mergeCell ref="I5:X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Jara</cp:lastModifiedBy>
  <dcterms:created xsi:type="dcterms:W3CDTF">2021-12-27T22:07:09Z</dcterms:created>
  <dcterms:modified xsi:type="dcterms:W3CDTF">2026-07-10T02:18:32Z</dcterms:modified>
</cp:coreProperties>
</file>